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<sst xmlns="http://schemas.openxmlformats.org/spreadsheetml/2006/main" count="81" uniqueCount="70">
  <si>
    <t>PRESSUPOST ANUAL 26/27</t>
  </si>
  <si>
    <t>Grup Scout Parpalló</t>
  </si>
  <si>
    <t>RESUM</t>
  </si>
  <si>
    <t>Total d'ingressos anuals</t>
  </si>
  <si>
    <t>Total de despeses anuals</t>
  </si>
  <si>
    <t xml:space="preserve">SALDE COMPTES
</t>
  </si>
  <si>
    <t>XXX</t>
  </si>
  <si>
    <t>INGRESSOS</t>
  </si>
  <si>
    <t>DESPESES</t>
  </si>
  <si>
    <t>1. FINANÇAMENT</t>
  </si>
  <si>
    <t>1. ASSEGURANÇA / QUOTA ASDE</t>
  </si>
  <si>
    <t>1.1 Quotes</t>
  </si>
  <si>
    <t>1.1 Quota ASDE</t>
  </si>
  <si>
    <t>1.2 Loteria</t>
  </si>
  <si>
    <t>2. CAMPAMENTS</t>
  </si>
  <si>
    <t>1.3 Subvencions</t>
  </si>
  <si>
    <t>2.1 Campament de Nadal</t>
  </si>
  <si>
    <t xml:space="preserve">1.4 Activitats </t>
  </si>
  <si>
    <t>2.2 Campament de Pasqua</t>
  </si>
  <si>
    <t>2.3 Campament d´Estiu</t>
  </si>
  <si>
    <t>2.4 SantJordi</t>
  </si>
  <si>
    <t>3. GASTOS CORRENTS</t>
  </si>
  <si>
    <t>3.1 Loteria</t>
  </si>
  <si>
    <t>3.2 Despeses activitats Secció</t>
  </si>
  <si>
    <t>3. ACTIVITATS SECCIONS</t>
  </si>
  <si>
    <t>3.3 Suministres</t>
  </si>
  <si>
    <t>3.1 Estol</t>
  </si>
  <si>
    <t>4. MATERIAL DE GRUP</t>
  </si>
  <si>
    <t>3.2 Scout</t>
  </si>
  <si>
    <t>4.1 Infraestructura</t>
  </si>
  <si>
    <t>3.3 Esculta</t>
  </si>
  <si>
    <t>4.2 Local</t>
  </si>
  <si>
    <t>3.4 Clan</t>
  </si>
  <si>
    <t>4.3 Terreny Benicoscoll</t>
  </si>
  <si>
    <t>4. ALTRES INGRESOS</t>
  </si>
  <si>
    <t>4.4 Roba</t>
  </si>
  <si>
    <t>4.1 Roba</t>
  </si>
  <si>
    <t>5. ALTRES</t>
  </si>
  <si>
    <t>5. RESERVES PRÒPIES</t>
  </si>
  <si>
    <t>6. ESTALVI</t>
  </si>
  <si>
    <t>TOTAL</t>
  </si>
  <si>
    <t>2.1.1 Alberg</t>
  </si>
  <si>
    <t>3.2.1 Estol</t>
  </si>
  <si>
    <t>2.1.2 Autobús</t>
  </si>
  <si>
    <t>3.2.2 Scout</t>
  </si>
  <si>
    <t>2.1.3 Altres</t>
  </si>
  <si>
    <t>3.2.3 Esculta</t>
  </si>
  <si>
    <t>3.2.4 Clan</t>
  </si>
  <si>
    <t>2.1.1 Alberg / Terreny</t>
  </si>
  <si>
    <t>5. Altres</t>
  </si>
  <si>
    <t>5.1 Comunitat</t>
  </si>
  <si>
    <t>2.1.3 Menjar</t>
  </si>
  <si>
    <t>5.2 Cursos</t>
  </si>
  <si>
    <t>2.1.4 Altres</t>
  </si>
  <si>
    <t>5.4 Wifi</t>
  </si>
  <si>
    <t>5.5 Convivència Scouters</t>
  </si>
  <si>
    <t>5.6 XXSS</t>
  </si>
  <si>
    <t>2.3.1 Autobús</t>
  </si>
  <si>
    <t>5.7 Altres</t>
  </si>
  <si>
    <t>2.3.2 Terreny</t>
  </si>
  <si>
    <t>2.3.3 Camió</t>
  </si>
  <si>
    <t>2.3.4 Furgoneta</t>
  </si>
  <si>
    <t>2.3.5 Cuina</t>
  </si>
  <si>
    <t>2.3.6 Visita</t>
  </si>
  <si>
    <t>2.3.7 Estol</t>
  </si>
  <si>
    <t>2.3.8 Scout</t>
  </si>
  <si>
    <t>2.3.9 Esculta</t>
  </si>
  <si>
    <t>2.3.10 Clan</t>
  </si>
  <si>
    <t>2.3.11 Sopar Infraestructura</t>
  </si>
  <si>
    <t>2.3.12 Altres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</si>
</sst>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"/>
    <numFmt numFmtId="165" formatCode="#,##0.00\ [$€-1]"/>
  </numFmts>
  <fonts count="13">
    <font>
      <sz val="10.0"/>
      <color rgb="FF000000"/>
      <name val="Arial"/>
      <scheme val="minor"/>
    </font>
    <font>
      <b/>
      <sz val="36.0"/>
      <color theme="1"/>
      <name val="Century Gothic"/>
    </font>
    <font>
      <i/>
      <sz val="30.0"/>
      <color theme="1"/>
      <name val="Century Gothic"/>
    </font>
    <font>
      <color theme="1"/>
      <name val="Arial"/>
      <scheme val="minor"/>
    </font>
    <font>
      <b/>
      <sz val="16.0"/>
      <color theme="1"/>
      <name val="Century Gothic"/>
    </font>
    <font>
      <sz val="11.0"/>
      <color theme="1"/>
      <name val="Century Gothic"/>
    </font>
    <font>
      <sz val="14.0"/>
      <color theme="1"/>
      <name val="Century Gothic"/>
    </font>
    <font>
      <color theme="1"/>
      <name val="Century Gothic"/>
    </font>
    <font>
      <b/>
      <sz val="13.0"/>
      <color theme="1"/>
      <name val="Century Gothic"/>
    </font>
    <font>
      <b/>
      <sz val="12.0"/>
      <color theme="1"/>
      <name val="Century Gothic"/>
    </font>
    <font>
      <b/>
      <sz val="11.0"/>
      <color theme="1"/>
      <name val="Century Gothic"/>
    </font>
    <font>
      <sz val="11.0"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5E884"/>
        <bgColor rgb="FF95E884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/>
    <border>
      <bottom style="thick">
        <color rgb="FF990000"/>
      </bottom>
    </border>
    <border>
      <left/>
      <right/>
      <top/>
      <bottom/>
    </border>
    <border>
      <bottom style="medium">
        <color rgb="FF990000"/>
      </bottom>
    </border>
    <border>
      <right style="medium">
        <color rgb="FF990000"/>
      </right>
    </border>
    <border>
      <right style="medium">
        <color rgb="FFA61C00"/>
      </right>
    </border>
    <border>
      <right style="medium">
        <color rgb="FF980000"/>
      </righ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bottom"/>
    </xf>
    <xf borderId="1" fillId="0" fontId="3" numFmtId="0" xfId="0" applyBorder="1" applyFont="1"/>
    <xf borderId="0" fillId="0" fontId="1" numFmtId="0" xfId="0" applyAlignment="1" applyFont="1">
      <alignment readingOrder="0"/>
    </xf>
    <xf borderId="2" fillId="2" fontId="4" numFmtId="0" xfId="0" applyAlignment="1" applyBorder="1" applyFill="1" applyFont="1">
      <alignment readingOrder="0"/>
    </xf>
    <xf borderId="2" fillId="2" fontId="5" numFmtId="0" xfId="0" applyBorder="1" applyFill="1" applyFont="1"/>
    <xf borderId="0" fillId="2" fontId="3" numFmtId="0" xfId="0" applyFill="1" applyFont="1"/>
    <xf borderId="3" fillId="0" fontId="6" numFmtId="0" xfId="0" applyAlignment="1" applyBorder="1" applyFont="1">
      <alignment readingOrder="0"/>
    </xf>
    <xf borderId="3" fillId="0" fontId="6" numFmtId="164" xfId="0" applyAlignment="1" applyBorder="1" applyFont="1" applyNumberFormat="1">
      <alignment horizontal="right"/>
    </xf>
    <xf borderId="3" fillId="0" fontId="7" numFmtId="0" xfId="0" applyBorder="1" applyFont="1"/>
    <xf borderId="3" fillId="0" fontId="8" numFmtId="165" xfId="0" applyBorder="1" applyFont="1" applyNumberFormat="1"/>
    <xf borderId="0" fillId="2" fontId="4" numFmtId="0" xfId="0" applyAlignment="1" applyFill="1" applyFont="1">
      <alignment readingOrder="0"/>
    </xf>
    <xf borderId="0" fillId="2" fontId="8" numFmtId="165" xfId="0" applyAlignment="1" applyFill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/>
    </xf>
    <xf borderId="0" fillId="2" fontId="10" numFmtId="0" xfId="0" applyAlignment="1" applyFill="1" applyFont="1">
      <alignment readingOrder="0"/>
    </xf>
    <xf borderId="0" fillId="2" fontId="5" numFmtId="0" xfId="0" applyFill="1" applyFont="1"/>
    <xf borderId="4" fillId="2" fontId="5" numFmtId="0" xfId="0" applyBorder="1" applyFill="1" applyFont="1"/>
    <xf borderId="0" fillId="2" fontId="5" numFmtId="165" xfId="0" applyFill="1" applyFont="1" applyNumberFormat="1"/>
    <xf borderId="0" fillId="0" fontId="5" numFmtId="0" xfId="0" applyFont="1"/>
    <xf borderId="0" fillId="3" fontId="5" numFmtId="0" xfId="0" applyAlignment="1" applyFill="1" applyFont="1">
      <alignment readingOrder="0"/>
    </xf>
    <xf borderId="0" fillId="3" fontId="5" numFmtId="0" xfId="0" applyFill="1" applyFont="1"/>
    <xf borderId="4" fillId="3" fontId="5" numFmtId="0" xfId="0" applyBorder="1" applyFill="1" applyFont="1"/>
    <xf borderId="0" fillId="3" fontId="5" numFmtId="165" xfId="0" applyFill="1" applyFont="1" applyNumberFormat="1"/>
    <xf borderId="0" fillId="0" fontId="5" numFmtId="0" xfId="0" applyAlignment="1" applyFont="1">
      <alignment readingOrder="0"/>
    </xf>
    <xf borderId="4" fillId="0" fontId="5" numFmtId="0" xfId="0" applyBorder="1" applyFont="1"/>
    <xf borderId="0" fillId="0" fontId="5" numFmtId="165" xfId="0" applyAlignment="1" applyFont="1" applyNumberFormat="1">
      <alignment readingOrder="0"/>
    </xf>
    <xf borderId="0" fillId="0" fontId="5" numFmtId="165" xfId="0" applyFont="1" applyNumberFormat="1"/>
    <xf borderId="0" fillId="3" fontId="5" numFmtId="165" xfId="0" applyAlignment="1" applyFill="1" applyFont="1" applyNumberFormat="1">
      <alignment readingOrder="0"/>
    </xf>
    <xf borderId="0" fillId="4" fontId="5" numFmtId="0" xfId="0" applyAlignment="1" applyFill="1" applyFont="1">
      <alignment readingOrder="0"/>
    </xf>
    <xf borderId="0" fillId="4" fontId="5" numFmtId="0" xfId="0" applyFill="1" applyFont="1"/>
    <xf borderId="4" fillId="4" fontId="5" numFmtId="0" xfId="0" applyBorder="1" applyFill="1" applyFont="1"/>
    <xf borderId="0" fillId="4" fontId="5" numFmtId="165" xfId="0" applyAlignment="1" applyFill="1" applyFont="1" applyNumberFormat="1">
      <alignment readingOrder="0"/>
    </xf>
    <xf borderId="0" fillId="4" fontId="5" numFmtId="165" xfId="0" applyFill="1" applyFont="1" applyNumberFormat="1"/>
    <xf borderId="0" fillId="0" fontId="10" numFmtId="0" xfId="0" applyAlignment="1" applyFont="1">
      <alignment readingOrder="0"/>
    </xf>
    <xf borderId="0" fillId="3" fontId="5" numFmtId="0" xfId="0" applyAlignment="1" applyFill="1" applyFont="1">
      <alignment readingOrder="0" vertical="bottom"/>
    </xf>
    <xf borderId="0" fillId="3" fontId="5" numFmtId="0" xfId="0" applyAlignment="1" applyFill="1" applyFont="1">
      <alignment vertical="bottom"/>
    </xf>
    <xf borderId="4" fillId="3" fontId="5" numFmtId="0" xfId="0" applyAlignment="1" applyBorder="1" applyFill="1" applyFont="1">
      <alignment vertical="bottom"/>
    </xf>
    <xf borderId="0" fillId="3" fontId="5" numFmtId="165" xfId="0" applyAlignment="1" applyFill="1" applyFont="1" applyNumberFormat="1">
      <alignment readingOrder="0" vertical="bottom"/>
    </xf>
    <xf borderId="0" fillId="3" fontId="5" numFmtId="165" xfId="0" applyAlignment="1" applyFill="1" applyFont="1" applyNumberFormat="1">
      <alignment vertical="bottom"/>
    </xf>
    <xf borderId="0" fillId="2" fontId="5" numFmtId="165" xfId="0" applyAlignment="1" applyFill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3" fontId="5" numFmtId="165" xfId="0" applyAlignment="1" applyFill="1" applyFont="1" applyNumberFormat="1">
      <alignment horizontal="right" readingOrder="0" vertical="bottom"/>
    </xf>
    <xf borderId="0" fillId="4" fontId="5" numFmtId="165" xfId="0" applyAlignment="1" applyFill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readingOrder="0" vertical="bottom"/>
    </xf>
    <xf borderId="0" fillId="0" fontId="11" numFmtId="0" xfId="0" applyFont="1"/>
    <xf borderId="5" fillId="2" fontId="10" numFmtId="0" xfId="0" applyAlignment="1" applyBorder="1" applyFill="1" applyFont="1">
      <alignment readingOrder="0"/>
    </xf>
    <xf borderId="0" fillId="2" fontId="5" numFmtId="0" xfId="0" applyAlignment="1" applyFill="1" applyFont="1">
      <alignment readingOrder="0"/>
    </xf>
    <xf borderId="4" fillId="2" fontId="5" numFmtId="0" xfId="0" applyAlignment="1" applyBorder="1" applyFill="1" applyFont="1">
      <alignment readingOrder="0"/>
    </xf>
    <xf borderId="0" fillId="5" fontId="10" numFmtId="0" xfId="0" applyAlignment="1" applyFill="1" applyFont="1">
      <alignment readingOrder="0"/>
    </xf>
    <xf borderId="0" fillId="5" fontId="11" numFmtId="0" xfId="0" applyFill="1" applyFont="1"/>
    <xf borderId="4" fillId="5" fontId="11" numFmtId="0" xfId="0" applyBorder="1" applyFill="1" applyFont="1"/>
    <xf borderId="0" fillId="5" fontId="11" numFmtId="165" xfId="0" applyFill="1" applyFont="1" applyNumberFormat="1"/>
    <xf borderId="0" fillId="5" fontId="10" numFmtId="165" xfId="0" applyFill="1" applyFont="1" applyNumberFormat="1"/>
    <xf borderId="0" fillId="0" fontId="12" numFmtId="0" xfId="0" applyAlignment="1" applyFont="1">
      <alignment vertical="bottom"/>
    </xf>
    <xf borderId="0" fillId="5" fontId="5" numFmtId="0" xfId="0" applyFill="1" applyFont="1"/>
    <xf borderId="4" fillId="5" fontId="5" numFmtId="0" xfId="0" applyBorder="1" applyFill="1" applyFont="1"/>
    <xf borderId="0" fillId="5" fontId="5" numFmtId="165" xfId="0" applyFill="1" applyFont="1" applyNumberFormat="1"/>
    <xf borderId="0" fillId="2" fontId="5" numFmtId="0" xfId="0" applyAlignment="1" applyFill="1" applyFont="1">
      <alignment vertical="bottom"/>
    </xf>
    <xf borderId="0" fillId="2" fontId="12" numFmtId="0" xfId="0" applyAlignment="1" applyFill="1" applyFont="1">
      <alignment vertical="bottom"/>
    </xf>
    <xf borderId="4" fillId="2" fontId="12" numFmtId="0" xfId="0" applyAlignment="1" applyBorder="1" applyFill="1" applyFont="1">
      <alignment vertical="bottom"/>
    </xf>
    <xf borderId="0" fillId="2" fontId="12" numFmtId="165" xfId="0" applyAlignment="1" applyFill="1" applyFont="1" applyNumberFormat="1">
      <alignment vertical="bottom"/>
    </xf>
    <xf borderId="0" fillId="2" fontId="7" numFmtId="165" xfId="0" applyAlignment="1" applyFill="1" applyFont="1" applyNumberFormat="1">
      <alignment horizontal="right" vertical="bottom"/>
    </xf>
    <xf borderId="0" fillId="3" fontId="7" numFmtId="0" xfId="0" applyAlignment="1" applyFill="1" applyFont="1">
      <alignment vertical="bottom"/>
    </xf>
    <xf borderId="0" fillId="3" fontId="12" numFmtId="0" xfId="0" applyAlignment="1" applyFill="1" applyFont="1">
      <alignment vertical="bottom"/>
    </xf>
    <xf borderId="4" fillId="3" fontId="12" numFmtId="0" xfId="0" applyAlignment="1" applyBorder="1" applyFill="1" applyFont="1">
      <alignment vertical="bottom"/>
    </xf>
    <xf borderId="0" fillId="3" fontId="7" numFmtId="165" xfId="0" applyAlignment="1" applyFill="1" applyFont="1" applyNumberFormat="1">
      <alignment horizontal="right" readingOrder="0" vertical="bottom"/>
    </xf>
    <xf borderId="0" fillId="0" fontId="7" numFmtId="0" xfId="0" applyAlignment="1" applyFont="1">
      <alignment vertical="bottom"/>
    </xf>
    <xf borderId="4" fillId="0" fontId="12" numFmtId="0" xfId="0" applyAlignment="1" applyBorder="1" applyFont="1">
      <alignment vertical="bottom"/>
    </xf>
    <xf borderId="0" fillId="0" fontId="7" numFmtId="165" xfId="0" applyAlignment="1" applyFont="1" applyNumberFormat="1">
      <alignment horizontal="right" readingOrder="0" vertical="bottom"/>
    </xf>
    <xf borderId="0" fillId="4" fontId="7" numFmtId="165" xfId="0" applyAlignment="1" applyFill="1" applyFont="1" applyNumberFormat="1">
      <alignment horizontal="right" readingOrder="0" vertical="bottom"/>
    </xf>
    <xf borderId="0" fillId="0" fontId="12" numFmtId="165" xfId="0" applyAlignment="1" applyFont="1" applyNumberFormat="1">
      <alignment vertical="bottom"/>
    </xf>
    <xf borderId="0" fillId="3" fontId="7" numFmtId="0" xfId="0" applyAlignment="1" applyFill="1" applyFont="1">
      <alignment readingOrder="0" vertical="bottom"/>
    </xf>
    <xf borderId="0" fillId="4" fontId="7" numFmtId="0" xfId="0" applyAlignment="1" applyFill="1" applyFont="1">
      <alignment readingOrder="0" vertical="bottom"/>
    </xf>
    <xf borderId="0" fillId="4" fontId="12" numFmtId="0" xfId="0" applyAlignment="1" applyFill="1" applyFont="1">
      <alignment vertical="bottom"/>
    </xf>
    <xf borderId="6" fillId="4" fontId="12" numFmtId="0" xfId="0" applyAlignment="1" applyBorder="1" applyFill="1" applyFont="1">
      <alignment vertical="bottom"/>
    </xf>
    <xf borderId="6" fillId="3" fontId="12" numFmtId="0" xfId="0" applyAlignment="1" applyBorder="1" applyFill="1" applyFont="1">
      <alignment vertical="bottom"/>
    </xf>
    <xf borderId="0" fillId="3" fontId="7" numFmtId="49" xfId="0" applyAlignment="1" applyFill="1" applyFont="1" applyNumberFormat="1">
      <alignment vertical="bottom"/>
    </xf>
    <xf borderId="0" fillId="0" fontId="7" numFmtId="49" xfId="0" applyAlignment="1" applyFont="1" applyNumberFormat="1">
      <alignment vertical="bottom"/>
    </xf>
    <xf borderId="4" fillId="4" fontId="12" numFmtId="0" xfId="0" applyAlignment="1" applyBorder="1" applyFill="1" applyFont="1">
      <alignment vertical="bottom"/>
    </xf>
    <xf borderId="0" fillId="4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sans-serif"/>
              </a:defRPr>
            </a:pPr>
            <a:r>
              <a:rPr b="1" i="1">
                <a:solidFill>
                  <a:srgbClr val="000000"/>
                </a:solidFill>
                <a:latin typeface="sans-serif"/>
              </a:rPr>
              <a:t>RESUM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'Hoja 1'!$E$5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'Hoja 1'!$E$6</c:f>
              <c:numCache/>
            </c:numRef>
          </c:val>
        </c:ser>
        <c:axId val="1539895180"/>
        <c:axId val="320998365"/>
      </c:bar3DChart>
      <c:catAx>
        <c:axId val="1539895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998365"/>
      </c:catAx>
      <c:valAx>
        <c:axId val="320998365"/>
        <c:scaling>
          <c:orientation val="minMax"/>
          <c:max val="70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ans-serif"/>
                  </a:defRPr>
                </a:pPr>
                <a:r>
                  <a:rPr b="0">
                    <a:solidFill>
                      <a:srgbClr val="000000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539895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  <c:spPr>
    <a:solidFill>
      <a:srgbClr val="D0E0E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2</xdr:row>
      <xdr:rowOff>66675</xdr:rowOff>
    </xdr:from>
    <xdr:ext cx="5334000" cy="2533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</cols>
  <sheetData>
    <row r="1" ht="51.75" customHeight="1">
      <c r="A1" s="1" t="s">
        <v>0</v>
      </c>
      <c r="B1" s="1"/>
      <c r="C1" s="1"/>
      <c r="D1" s="1"/>
      <c r="E1" s="1"/>
      <c r="F1" s="2"/>
      <c r="G1" s="2"/>
      <c r="H1" s="2" t="s">
        <v>1</v>
      </c>
      <c r="I1" s="3"/>
      <c r="J1" s="3"/>
      <c r="K1" s="3"/>
    </row>
    <row r="2">
      <c r="A2" s="4"/>
      <c r="B2" s="4"/>
      <c r="C2" s="4"/>
      <c r="D2" s="4"/>
      <c r="E2" s="4"/>
      <c r="F2" s="4"/>
    </row>
    <row r="4">
      <c r="A4" s="5" t="s">
        <v>2</v>
      </c>
      <c r="B4" s="6"/>
      <c r="C4" s="7"/>
      <c r="D4" s="7"/>
      <c r="E4" s="7"/>
    </row>
    <row r="5">
      <c r="A5" s="8" t="s">
        <v>3</v>
      </c>
      <c r="B5" s="9"/>
      <c r="C5" s="10"/>
      <c r="D5" s="10"/>
      <c r="E5" s="11">
        <f>(E36)</f>
        <v>65450</v>
      </c>
    </row>
    <row r="6">
      <c r="A6" s="8" t="s">
        <v>4</v>
      </c>
      <c r="B6" s="9"/>
      <c r="C6" s="10"/>
      <c r="D6" s="10"/>
      <c r="E6" s="11">
        <f>(K36)</f>
        <v>65450</v>
      </c>
    </row>
    <row r="8" ht="21.75" customHeight="1">
      <c r="A8" s="12" t="s">
        <v>5</v>
      </c>
      <c r="B8" s="7"/>
      <c r="C8" s="7"/>
      <c r="D8" s="7"/>
      <c r="E8" s="13" t="s">
        <v>6</v>
      </c>
    </row>
    <row r="11">
      <c r="D11" s="14"/>
    </row>
    <row r="16">
      <c r="A16" s="15" t="s">
        <v>7</v>
      </c>
      <c r="G16" s="15" t="s">
        <v>8</v>
      </c>
    </row>
    <row r="18">
      <c r="A18" s="16" t="s">
        <v>9</v>
      </c>
      <c r="B18" s="17"/>
      <c r="C18" s="18"/>
      <c r="D18" s="19"/>
      <c r="E18" s="19">
        <f>SUM(D19:D22)</f>
        <v>19000</v>
      </c>
      <c r="F18" s="20"/>
      <c r="G18" s="16" t="s">
        <v>10</v>
      </c>
      <c r="H18" s="17"/>
      <c r="I18" s="18"/>
      <c r="J18" s="19"/>
      <c r="K18" s="19">
        <f>SUM(J19)</f>
        <v>4500</v>
      </c>
    </row>
    <row r="19">
      <c r="A19" s="21" t="s">
        <v>11</v>
      </c>
      <c r="B19" s="22"/>
      <c r="C19" s="23"/>
      <c r="D19" s="24">
        <f>100*100</f>
        <v>10000</v>
      </c>
      <c r="E19" s="24"/>
      <c r="F19" s="20"/>
      <c r="G19" s="21" t="s">
        <v>12</v>
      </c>
      <c r="H19" s="22"/>
      <c r="I19" s="23"/>
      <c r="J19" s="24">
        <f>30*150</f>
        <v>4500</v>
      </c>
      <c r="K19" s="24"/>
    </row>
    <row r="20">
      <c r="A20" s="25" t="s">
        <v>13</v>
      </c>
      <c r="B20" s="20"/>
      <c r="C20" s="26"/>
      <c r="D20" s="27">
        <v>6000.0</v>
      </c>
      <c r="E20" s="28"/>
      <c r="F20" s="20"/>
      <c r="G20" s="16" t="s">
        <v>14</v>
      </c>
      <c r="H20" s="17"/>
      <c r="I20" s="18"/>
      <c r="J20" s="19"/>
      <c r="K20" s="19">
        <f>SUM(J21:J24)</f>
        <v>40400</v>
      </c>
    </row>
    <row r="21">
      <c r="A21" s="21" t="s">
        <v>15</v>
      </c>
      <c r="B21" s="22"/>
      <c r="C21" s="23"/>
      <c r="D21" s="29">
        <v>3000.0</v>
      </c>
      <c r="E21" s="24"/>
      <c r="F21" s="20"/>
      <c r="G21" s="25" t="s">
        <v>16</v>
      </c>
      <c r="H21" s="20"/>
      <c r="I21" s="26"/>
      <c r="J21" s="27">
        <f>E38</f>
        <v>6700</v>
      </c>
      <c r="K21" s="28"/>
    </row>
    <row r="22">
      <c r="A22" s="30" t="s">
        <v>17</v>
      </c>
      <c r="B22" s="31"/>
      <c r="C22" s="32"/>
      <c r="D22" s="33">
        <v>0.0</v>
      </c>
      <c r="E22" s="34"/>
      <c r="F22" s="20"/>
      <c r="G22" s="21" t="s">
        <v>18</v>
      </c>
      <c r="H22" s="22"/>
      <c r="I22" s="23"/>
      <c r="J22" s="29">
        <f>E43</f>
        <v>4000</v>
      </c>
      <c r="K22" s="24"/>
    </row>
    <row r="23">
      <c r="A23" s="16" t="s">
        <v>14</v>
      </c>
      <c r="B23" s="17"/>
      <c r="C23" s="18"/>
      <c r="D23" s="19"/>
      <c r="E23" s="19">
        <f>SUM(D24:D27)</f>
        <v>40400</v>
      </c>
      <c r="F23" s="20"/>
      <c r="G23" s="25" t="s">
        <v>19</v>
      </c>
      <c r="H23" s="20"/>
      <c r="I23" s="26"/>
      <c r="J23" s="27">
        <f>E49</f>
        <v>28500</v>
      </c>
      <c r="K23" s="28"/>
    </row>
    <row r="24">
      <c r="A24" s="25" t="s">
        <v>16</v>
      </c>
      <c r="B24" s="20"/>
      <c r="C24" s="26"/>
      <c r="D24" s="27">
        <v>6700.0</v>
      </c>
      <c r="E24" s="28"/>
      <c r="F24" s="20"/>
      <c r="G24" s="25" t="s">
        <v>20</v>
      </c>
      <c r="H24" s="20"/>
      <c r="I24" s="26"/>
      <c r="J24" s="27">
        <v>1200.0</v>
      </c>
      <c r="K24" s="28"/>
    </row>
    <row r="25">
      <c r="A25" s="21" t="s">
        <v>18</v>
      </c>
      <c r="B25" s="22"/>
      <c r="C25" s="23"/>
      <c r="D25" s="29">
        <v>4000.0</v>
      </c>
      <c r="E25" s="24"/>
      <c r="F25" s="20"/>
      <c r="G25" s="16" t="s">
        <v>21</v>
      </c>
      <c r="H25" s="17"/>
      <c r="I25" s="18"/>
      <c r="J25" s="19"/>
      <c r="K25" s="19">
        <f>SUM(J26:J28)</f>
        <v>8550</v>
      </c>
    </row>
    <row r="26">
      <c r="A26" s="25" t="s">
        <v>19</v>
      </c>
      <c r="B26" s="20"/>
      <c r="C26" s="26"/>
      <c r="D26" s="27">
        <v>28500.0</v>
      </c>
      <c r="E26" s="28"/>
      <c r="F26" s="20"/>
      <c r="G26" s="30" t="s">
        <v>22</v>
      </c>
      <c r="H26" s="31"/>
      <c r="I26" s="32"/>
      <c r="J26" s="33">
        <v>5200.0</v>
      </c>
      <c r="K26" s="34"/>
      <c r="N26" s="35"/>
      <c r="O26" s="20"/>
      <c r="P26" s="28"/>
      <c r="Q26" s="28"/>
    </row>
    <row r="27">
      <c r="A27" s="25" t="s">
        <v>20</v>
      </c>
      <c r="B27" s="20"/>
      <c r="C27" s="26"/>
      <c r="D27" s="27">
        <v>1200.0</v>
      </c>
      <c r="E27" s="27"/>
      <c r="F27" s="20"/>
      <c r="G27" s="36" t="s">
        <v>23</v>
      </c>
      <c r="H27" s="37"/>
      <c r="I27" s="38"/>
      <c r="J27" s="39">
        <f>K38</f>
        <v>2750</v>
      </c>
      <c r="K27" s="40"/>
      <c r="N27" s="25"/>
      <c r="O27" s="20"/>
      <c r="P27" s="27"/>
      <c r="Q27" s="28"/>
    </row>
    <row r="28">
      <c r="A28" s="16" t="s">
        <v>24</v>
      </c>
      <c r="B28" s="17"/>
      <c r="C28" s="18"/>
      <c r="D28" s="19"/>
      <c r="E28" s="41">
        <f>SUM(D29:D32)</f>
        <v>2750</v>
      </c>
      <c r="F28" s="20"/>
      <c r="G28" s="30" t="s">
        <v>25</v>
      </c>
      <c r="H28" s="31"/>
      <c r="I28" s="32"/>
      <c r="J28" s="33">
        <v>600.0</v>
      </c>
      <c r="K28" s="34"/>
      <c r="L28" s="42"/>
      <c r="N28" s="25"/>
      <c r="O28" s="20"/>
      <c r="P28" s="27"/>
      <c r="Q28" s="28"/>
    </row>
    <row r="29">
      <c r="A29" s="21" t="s">
        <v>26</v>
      </c>
      <c r="B29" s="22"/>
      <c r="C29" s="23"/>
      <c r="D29" s="43">
        <v>750.0</v>
      </c>
      <c r="E29" s="24"/>
      <c r="F29" s="20"/>
      <c r="G29" s="16" t="s">
        <v>27</v>
      </c>
      <c r="H29" s="17"/>
      <c r="I29" s="18"/>
      <c r="J29" s="19"/>
      <c r="K29" s="19">
        <f>SUM(J30:J33)</f>
        <v>8520</v>
      </c>
      <c r="L29" s="42"/>
      <c r="N29" s="25"/>
      <c r="O29" s="25"/>
      <c r="P29" s="27"/>
      <c r="Q29" s="28"/>
    </row>
    <row r="30">
      <c r="A30" s="25" t="s">
        <v>28</v>
      </c>
      <c r="B30" s="20"/>
      <c r="C30" s="26"/>
      <c r="D30" s="44">
        <v>1000.0</v>
      </c>
      <c r="E30" s="28"/>
      <c r="F30" s="20"/>
      <c r="G30" s="21" t="s">
        <v>29</v>
      </c>
      <c r="H30" s="22"/>
      <c r="I30" s="23"/>
      <c r="J30" s="29">
        <v>1000.0</v>
      </c>
      <c r="K30" s="24"/>
    </row>
    <row r="31">
      <c r="A31" s="21" t="s">
        <v>30</v>
      </c>
      <c r="B31" s="22"/>
      <c r="C31" s="23"/>
      <c r="D31" s="43">
        <v>500.0</v>
      </c>
      <c r="E31" s="24"/>
      <c r="F31" s="20"/>
      <c r="G31" s="25" t="s">
        <v>31</v>
      </c>
      <c r="H31" s="20"/>
      <c r="I31" s="26"/>
      <c r="J31" s="27">
        <v>3660.0</v>
      </c>
      <c r="K31" s="28"/>
    </row>
    <row r="32">
      <c r="A32" s="25" t="s">
        <v>32</v>
      </c>
      <c r="B32" s="20"/>
      <c r="C32" s="26"/>
      <c r="D32" s="45">
        <v>500.0</v>
      </c>
      <c r="E32" s="28"/>
      <c r="F32" s="20"/>
      <c r="G32" s="21" t="s">
        <v>33</v>
      </c>
      <c r="H32" s="22"/>
      <c r="I32" s="23"/>
      <c r="J32" s="29">
        <v>3660.0</v>
      </c>
      <c r="K32" s="24"/>
    </row>
    <row r="33">
      <c r="A33" s="16" t="s">
        <v>34</v>
      </c>
      <c r="B33" s="17"/>
      <c r="C33" s="18"/>
      <c r="D33" s="19"/>
      <c r="E33" s="19">
        <f>SUM(D34)</f>
        <v>800</v>
      </c>
      <c r="F33" s="20"/>
      <c r="G33" s="30" t="s">
        <v>35</v>
      </c>
      <c r="H33" s="30"/>
      <c r="I33" s="32"/>
      <c r="J33" s="33">
        <v>200.0</v>
      </c>
      <c r="K33" s="34"/>
    </row>
    <row r="34">
      <c r="A34" s="21" t="s">
        <v>36</v>
      </c>
      <c r="B34" s="22"/>
      <c r="C34" s="23"/>
      <c r="D34" s="29">
        <v>800.0</v>
      </c>
      <c r="E34" s="24"/>
      <c r="F34" s="46"/>
      <c r="G34" s="16" t="s">
        <v>37</v>
      </c>
      <c r="H34" s="16"/>
      <c r="I34" s="47"/>
      <c r="J34" s="16"/>
      <c r="K34" s="41">
        <f>K44</f>
        <v>3480</v>
      </c>
    </row>
    <row r="35">
      <c r="A35" s="16" t="s">
        <v>38</v>
      </c>
      <c r="B35" s="48"/>
      <c r="C35" s="49"/>
      <c r="D35" s="41"/>
      <c r="E35" s="41">
        <v>2500.0</v>
      </c>
      <c r="G35" s="16" t="s">
        <v>39</v>
      </c>
      <c r="H35" s="16"/>
      <c r="I35" s="47"/>
      <c r="J35" s="16"/>
      <c r="K35" s="41">
        <v>0.0</v>
      </c>
    </row>
    <row r="36">
      <c r="A36" s="50" t="s">
        <v>40</v>
      </c>
      <c r="B36" s="51"/>
      <c r="C36" s="52"/>
      <c r="D36" s="53"/>
      <c r="E36" s="54">
        <f>SUM(E18+E23+E28+E33+E35)</f>
        <v>65450</v>
      </c>
      <c r="F36" s="55"/>
      <c r="G36" s="50" t="s">
        <v>40</v>
      </c>
      <c r="H36" s="56"/>
      <c r="I36" s="57"/>
      <c r="J36" s="58"/>
      <c r="K36" s="54">
        <f>SUM(K18+K20+K25+K29+K34+K35)</f>
        <v>65450</v>
      </c>
    </row>
    <row r="37">
      <c r="F37" s="55"/>
    </row>
    <row r="38">
      <c r="A38" s="59" t="s">
        <v>16</v>
      </c>
      <c r="B38" s="60"/>
      <c r="C38" s="61"/>
      <c r="D38" s="62"/>
      <c r="E38" s="63">
        <f>SUM(D39:D41)</f>
        <v>6700</v>
      </c>
      <c r="F38" s="55"/>
      <c r="G38" s="59" t="s">
        <v>23</v>
      </c>
      <c r="H38" s="60"/>
      <c r="I38" s="61"/>
      <c r="J38" s="62"/>
      <c r="K38" s="63">
        <f>SUM(J39:J42)</f>
        <v>2750</v>
      </c>
    </row>
    <row r="39">
      <c r="A39" s="64" t="s">
        <v>41</v>
      </c>
      <c r="B39" s="65"/>
      <c r="C39" s="66"/>
      <c r="D39" s="67">
        <v>5100.0</v>
      </c>
      <c r="E39" s="65"/>
      <c r="F39" s="55"/>
      <c r="G39" s="64" t="s">
        <v>42</v>
      </c>
      <c r="H39" s="65"/>
      <c r="I39" s="66"/>
      <c r="J39" s="67">
        <v>750.0</v>
      </c>
      <c r="K39" s="65"/>
    </row>
    <row r="40">
      <c r="A40" s="68" t="s">
        <v>43</v>
      </c>
      <c r="B40" s="55"/>
      <c r="C40" s="69"/>
      <c r="D40" s="70">
        <v>1500.0</v>
      </c>
      <c r="E40" s="55"/>
      <c r="F40" s="55"/>
      <c r="G40" s="68" t="s">
        <v>44</v>
      </c>
      <c r="H40" s="55"/>
      <c r="I40" s="69"/>
      <c r="J40" s="71">
        <v>1000.0</v>
      </c>
      <c r="K40" s="55"/>
    </row>
    <row r="41">
      <c r="A41" s="64" t="s">
        <v>45</v>
      </c>
      <c r="B41" s="65"/>
      <c r="C41" s="66"/>
      <c r="D41" s="67">
        <v>100.0</v>
      </c>
      <c r="E41" s="65"/>
      <c r="F41" s="55"/>
      <c r="G41" s="64" t="s">
        <v>46</v>
      </c>
      <c r="H41" s="65"/>
      <c r="I41" s="66"/>
      <c r="J41" s="67">
        <v>500.0</v>
      </c>
      <c r="K41" s="65"/>
    </row>
    <row r="42">
      <c r="A42" s="55"/>
      <c r="B42" s="55"/>
      <c r="C42" s="55"/>
      <c r="D42" s="72"/>
      <c r="E42" s="55"/>
      <c r="F42" s="55"/>
      <c r="G42" s="68" t="s">
        <v>47</v>
      </c>
      <c r="H42" s="55"/>
      <c r="I42" s="69"/>
      <c r="J42" s="70">
        <v>500.0</v>
      </c>
      <c r="K42" s="55"/>
    </row>
    <row r="43">
      <c r="A43" s="59" t="s">
        <v>18</v>
      </c>
      <c r="B43" s="60"/>
      <c r="C43" s="61"/>
      <c r="D43" s="62"/>
      <c r="E43" s="63">
        <f>SUM(D44:D47)</f>
        <v>4000</v>
      </c>
      <c r="F43" s="55"/>
      <c r="G43" s="55"/>
      <c r="H43" s="55"/>
      <c r="I43" s="55"/>
      <c r="J43" s="72"/>
      <c r="K43" s="55"/>
    </row>
    <row r="44">
      <c r="A44" s="64" t="s">
        <v>48</v>
      </c>
      <c r="B44" s="65"/>
      <c r="C44" s="66"/>
      <c r="D44" s="67">
        <v>500.0</v>
      </c>
      <c r="E44" s="65"/>
      <c r="F44" s="55"/>
      <c r="G44" s="59" t="s">
        <v>49</v>
      </c>
      <c r="H44" s="60"/>
      <c r="I44" s="61"/>
      <c r="J44" s="62"/>
      <c r="K44" s="63">
        <f>SUM(J45:J50)</f>
        <v>3480</v>
      </c>
    </row>
    <row r="45">
      <c r="A45" s="68" t="s">
        <v>43</v>
      </c>
      <c r="B45" s="55"/>
      <c r="C45" s="69"/>
      <c r="D45" s="70">
        <v>1600.0</v>
      </c>
      <c r="E45" s="55"/>
      <c r="F45" s="55"/>
      <c r="G45" s="64" t="s">
        <v>50</v>
      </c>
      <c r="H45" s="65"/>
      <c r="I45" s="66"/>
      <c r="J45" s="67">
        <v>600.0</v>
      </c>
      <c r="K45" s="65"/>
    </row>
    <row r="46">
      <c r="A46" s="64" t="s">
        <v>51</v>
      </c>
      <c r="B46" s="65"/>
      <c r="C46" s="66"/>
      <c r="D46" s="67">
        <v>1700.0</v>
      </c>
      <c r="E46" s="65"/>
      <c r="F46" s="55"/>
      <c r="G46" s="68" t="s">
        <v>52</v>
      </c>
      <c r="H46" s="55"/>
      <c r="I46" s="69"/>
      <c r="J46" s="70">
        <v>640.0</v>
      </c>
      <c r="K46" s="55"/>
    </row>
    <row r="47">
      <c r="A47" s="68" t="s">
        <v>53</v>
      </c>
      <c r="B47" s="55"/>
      <c r="C47" s="69"/>
      <c r="D47" s="70">
        <v>200.0</v>
      </c>
      <c r="E47" s="55"/>
      <c r="F47" s="55"/>
      <c r="G47" s="73" t="s">
        <v>54</v>
      </c>
      <c r="H47" s="65"/>
      <c r="I47" s="66"/>
      <c r="J47" s="67">
        <v>240.0</v>
      </c>
      <c r="K47" s="65"/>
    </row>
    <row r="48">
      <c r="A48" s="55"/>
      <c r="B48" s="55"/>
      <c r="C48" s="55"/>
      <c r="D48" s="55"/>
      <c r="E48" s="55"/>
      <c r="F48" s="55"/>
      <c r="G48" s="74" t="s">
        <v>55</v>
      </c>
      <c r="H48" s="75"/>
      <c r="I48" s="76"/>
      <c r="J48" s="71">
        <v>400.0</v>
      </c>
      <c r="K48" s="75"/>
    </row>
    <row r="49">
      <c r="A49" s="59" t="s">
        <v>19</v>
      </c>
      <c r="B49" s="60"/>
      <c r="C49" s="61"/>
      <c r="D49" s="62"/>
      <c r="E49" s="63">
        <f>SUM(D50:D61)</f>
        <v>28500</v>
      </c>
      <c r="F49" s="55"/>
      <c r="G49" s="73" t="s">
        <v>56</v>
      </c>
      <c r="H49" s="65"/>
      <c r="I49" s="77"/>
      <c r="J49" s="67">
        <v>100.0</v>
      </c>
      <c r="K49" s="65"/>
    </row>
    <row r="50">
      <c r="A50" s="64" t="s">
        <v>57</v>
      </c>
      <c r="B50" s="65"/>
      <c r="C50" s="66"/>
      <c r="D50" s="67">
        <v>6000.0</v>
      </c>
      <c r="E50" s="65"/>
      <c r="F50" s="55"/>
      <c r="G50" s="74" t="s">
        <v>58</v>
      </c>
      <c r="H50" s="75"/>
      <c r="I50" s="76"/>
      <c r="J50" s="71">
        <v>1500.0</v>
      </c>
      <c r="K50" s="75"/>
    </row>
    <row r="51">
      <c r="A51" s="68" t="s">
        <v>59</v>
      </c>
      <c r="B51" s="55"/>
      <c r="C51" s="69"/>
      <c r="D51" s="70">
        <v>3000.0</v>
      </c>
      <c r="E51" s="55"/>
      <c r="F51" s="55"/>
      <c r="G51" s="75"/>
      <c r="H51" s="75"/>
      <c r="I51" s="75"/>
      <c r="J51" s="75"/>
      <c r="K51" s="75"/>
    </row>
    <row r="52">
      <c r="A52" s="64" t="s">
        <v>60</v>
      </c>
      <c r="B52" s="65"/>
      <c r="C52" s="66"/>
      <c r="D52" s="67">
        <v>5000.0</v>
      </c>
      <c r="E52" s="65"/>
      <c r="F52" s="55"/>
      <c r="G52" s="55"/>
      <c r="H52" s="55"/>
      <c r="I52" s="55"/>
      <c r="J52" s="55"/>
      <c r="K52" s="55"/>
    </row>
    <row r="53">
      <c r="A53" s="68" t="s">
        <v>61</v>
      </c>
      <c r="B53" s="55"/>
      <c r="C53" s="69"/>
      <c r="D53" s="70">
        <v>1500.0</v>
      </c>
      <c r="E53" s="55"/>
      <c r="F53" s="55"/>
      <c r="G53" s="55"/>
      <c r="H53" s="55"/>
      <c r="I53" s="55"/>
      <c r="J53" s="55"/>
      <c r="K53" s="55"/>
    </row>
    <row r="54">
      <c r="A54" s="64" t="s">
        <v>62</v>
      </c>
      <c r="B54" s="65"/>
      <c r="C54" s="66"/>
      <c r="D54" s="67">
        <v>11000.0</v>
      </c>
      <c r="E54" s="65"/>
      <c r="F54" s="55"/>
      <c r="G54" s="55"/>
      <c r="H54" s="55"/>
      <c r="I54" s="55"/>
      <c r="J54" s="55"/>
      <c r="K54" s="55"/>
    </row>
    <row r="55">
      <c r="A55" s="68" t="s">
        <v>63</v>
      </c>
      <c r="B55" s="55"/>
      <c r="C55" s="69"/>
      <c r="D55" s="70">
        <v>400.0</v>
      </c>
      <c r="E55" s="55"/>
      <c r="F55" s="55"/>
      <c r="G55" s="55"/>
      <c r="H55" s="55"/>
      <c r="I55" s="55"/>
      <c r="J55" s="55"/>
      <c r="K55" s="55"/>
    </row>
    <row r="56">
      <c r="A56" s="78" t="s">
        <v>64</v>
      </c>
      <c r="B56" s="65"/>
      <c r="C56" s="66"/>
      <c r="D56" s="67">
        <v>100.0</v>
      </c>
      <c r="E56" s="65"/>
      <c r="F56" s="55"/>
      <c r="G56" s="55"/>
      <c r="H56" s="55"/>
      <c r="I56" s="55"/>
      <c r="J56" s="55"/>
      <c r="K56" s="55"/>
    </row>
    <row r="57">
      <c r="A57" s="79" t="s">
        <v>65</v>
      </c>
      <c r="B57" s="55"/>
      <c r="C57" s="69"/>
      <c r="D57" s="70">
        <v>100.0</v>
      </c>
      <c r="E57" s="55"/>
      <c r="F57" s="55"/>
      <c r="G57" s="55"/>
      <c r="H57" s="55"/>
      <c r="I57" s="55"/>
      <c r="J57" s="55"/>
      <c r="K57" s="55"/>
    </row>
    <row r="58">
      <c r="A58" s="78" t="s">
        <v>66</v>
      </c>
      <c r="B58" s="65"/>
      <c r="C58" s="66"/>
      <c r="D58" s="70">
        <v>100.0</v>
      </c>
      <c r="E58" s="65"/>
      <c r="F58" s="55"/>
      <c r="G58" s="55"/>
      <c r="H58" s="55"/>
      <c r="I58" s="55"/>
      <c r="J58" s="55"/>
      <c r="K58" s="55"/>
    </row>
    <row r="59">
      <c r="A59" s="79" t="s">
        <v>67</v>
      </c>
      <c r="B59" s="55"/>
      <c r="C59" s="69"/>
      <c r="D59" s="70">
        <v>100.0</v>
      </c>
      <c r="E59" s="55"/>
      <c r="F59" s="55"/>
      <c r="G59" s="55"/>
      <c r="H59" s="55"/>
      <c r="I59" s="55"/>
      <c r="J59" s="55"/>
      <c r="K59" s="55"/>
    </row>
    <row r="60">
      <c r="A60" s="78" t="s">
        <v>68</v>
      </c>
      <c r="B60" s="65"/>
      <c r="C60" s="66"/>
      <c r="D60" s="67">
        <v>400.0</v>
      </c>
      <c r="E60" s="65"/>
      <c r="F60" s="55"/>
      <c r="G60" s="55"/>
      <c r="H60" s="55"/>
      <c r="I60" s="55"/>
      <c r="J60" s="55"/>
      <c r="K60" s="55"/>
    </row>
    <row r="61">
      <c r="A61" s="74" t="s">
        <v>69</v>
      </c>
      <c r="B61" s="75"/>
      <c r="C61" s="80"/>
      <c r="D61" s="71">
        <v>800.0</v>
      </c>
      <c r="E61" s="75"/>
      <c r="G61" s="55"/>
      <c r="H61" s="55"/>
      <c r="I61" s="55"/>
      <c r="J61" s="55"/>
      <c r="K61" s="55"/>
    </row>
    <row r="62">
      <c r="A62" s="81"/>
      <c r="B62" s="81"/>
      <c r="C62" s="81"/>
      <c r="D62" s="81"/>
      <c r="E62" s="81"/>
    </row>
  </sheetData>
  <printOptions horizontalCentered="1"/>
  <pageMargins bottom="0.75" footer="0.0" header="0.0" left="0.7" right="0.7" top="0.75"/>
  <pageSetup paperSize="9" cellComments="atEnd" orientation="portrait" pageOrder="overThenDown"/>
  <drawing r:id="rId1"/>
</worksheet>
</file>